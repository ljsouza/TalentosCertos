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ação &amp; 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;(R$ #,##0);&quot;-&quot;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5171A"/>
      <sz val="15"/>
    </font>
    <font>
      <name val="Arial"/>
      <color rgb="006B6F76"/>
      <sz val="10"/>
    </font>
    <font>
      <name val="Arial"/>
      <i val="1"/>
      <color rgb="009A9EA6"/>
      <sz val="9"/>
    </font>
    <font>
      <name val="Arial"/>
      <b val="1"/>
      <color rgb="00FFFFFF"/>
      <sz val="10"/>
    </font>
    <font>
      <name val="Arial"/>
      <color rgb="0015171A"/>
      <sz val="10"/>
    </font>
    <font>
      <name val="Arial"/>
      <color rgb="000000FF"/>
      <sz val="10"/>
    </font>
    <font>
      <name val="Arial"/>
      <b val="1"/>
      <color rgb="0015171A"/>
      <sz val="10"/>
    </font>
  </fonts>
  <fills count="5">
    <fill>
      <patternFill/>
    </fill>
    <fill>
      <patternFill patternType="gray125"/>
    </fill>
    <fill>
      <patternFill patternType="solid">
        <fgColor rgb="001F8A5B"/>
      </patternFill>
    </fill>
    <fill>
      <patternFill patternType="solid">
        <fgColor rgb="00FFF6CC"/>
      </patternFill>
    </fill>
    <fill>
      <patternFill patternType="solid">
        <fgColor rgb="000F7D8C"/>
      </patternFill>
    </fill>
  </fills>
  <borders count="2">
    <border>
      <left/>
      <right/>
      <top/>
      <bottom/>
      <diagonal/>
    </border>
    <border>
      <left style="thin">
        <color rgb="00E0DCD3"/>
      </left>
      <right style="thin">
        <color rgb="00E0DCD3"/>
      </right>
      <top style="thin">
        <color rgb="00E0DCD3"/>
      </top>
      <bottom style="thin">
        <color rgb="00E0DC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0" fillId="4" borderId="1" pivotButton="0" quotePrefix="0" xfId="0"/>
    <xf numFmtId="165" fontId="7" fillId="0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0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22" customWidth="1" min="4" max="4"/>
    <col width="30" customWidth="1" min="5" max="5"/>
  </cols>
  <sheetData>
    <row r="2">
      <c r="B2" s="1" t="inlineStr">
        <is>
          <t>Valoração de Aportes &amp; Cálculo do Split</t>
        </is>
      </c>
    </row>
    <row r="3">
      <c r="B3" s="2" t="inlineStr">
        <is>
          <t>MaringáPost Empregos — Proposta de Sociedade (Cenário 50/50)</t>
        </is>
      </c>
    </row>
    <row r="4">
      <c r="B4" s="3" t="inlineStr">
        <is>
          <t>Como usar: edite apenas as células destacadas em amarelo (azul). Os resultados em preto recalculam sozinhos.</t>
        </is>
      </c>
    </row>
    <row r="6" ht="20" customHeight="1">
      <c r="B6" s="4" t="inlineStr">
        <is>
          <t>LADO B · NEGÓCIO &amp; TECNOLOGIA — aporte de capital (produto já construído)</t>
        </is>
      </c>
      <c r="C6" s="5" t="n"/>
      <c r="D6" s="5" t="n"/>
      <c r="E6" s="5" t="n"/>
    </row>
    <row r="7">
      <c r="B7" s="6" t="inlineStr">
        <is>
          <t>Horas de desenvolvimento do MVP</t>
        </is>
      </c>
      <c r="C7" s="7" t="n">
        <v>1200</v>
      </c>
      <c r="D7" s="8" t="inlineStr">
        <is>
          <t>horas</t>
        </is>
      </c>
      <c r="E7" s="9" t="inlineStr">
        <is>
          <t>Exemplo — ajustar</t>
        </is>
      </c>
    </row>
    <row r="8">
      <c r="B8" s="6" t="inlineStr">
        <is>
          <t>Valor de mercado por hora</t>
        </is>
      </c>
      <c r="C8" s="10" t="n">
        <v>150</v>
      </c>
      <c r="D8" s="8" t="inlineStr">
        <is>
          <t>R$/h</t>
        </is>
      </c>
      <c r="E8" s="9" t="inlineStr">
        <is>
          <t>Exemplo — ajustar</t>
        </is>
      </c>
    </row>
    <row r="9">
      <c r="B9" s="6">
        <f> Valor do produto construído (B)</f>
        <v/>
      </c>
      <c r="C9" s="11">
        <f>C7*C8</f>
        <v/>
      </c>
      <c r="D9" s="8" t="inlineStr">
        <is>
          <t>R$</t>
        </is>
      </c>
      <c r="E9" s="9" t="inlineStr">
        <is>
          <t>Horas × valor/hora</t>
        </is>
      </c>
    </row>
    <row r="11" ht="20" customHeight="1">
      <c r="B11" s="12" t="inlineStr">
        <is>
          <t>LADO A · MÍDIA &amp; MERCADO — aporte de capital (audiência + marca)</t>
        </is>
      </c>
      <c r="C11" s="13" t="n"/>
      <c r="D11" s="13" t="n"/>
      <c r="E11" s="13" t="n"/>
    </row>
    <row r="12">
      <c r="B12" s="6" t="inlineStr">
        <is>
          <t>Impressões / inserções por mês</t>
        </is>
      </c>
      <c r="C12" s="7" t="n">
        <v>700000</v>
      </c>
      <c r="D12" s="8" t="inlineStr">
        <is>
          <t>un/mês</t>
        </is>
      </c>
      <c r="E12" s="9" t="inlineStr">
        <is>
          <t>Exemplo — ajustar</t>
        </is>
      </c>
    </row>
    <row r="13">
      <c r="B13" s="6" t="inlineStr">
        <is>
          <t>Valor por mil impressões (CPM)</t>
        </is>
      </c>
      <c r="C13" s="10" t="n">
        <v>20</v>
      </c>
      <c r="D13" s="8" t="inlineStr">
        <is>
          <t>R$</t>
        </is>
      </c>
      <c r="E13" s="9" t="inlineStr">
        <is>
          <t>Tabela do canal</t>
        </is>
      </c>
    </row>
    <row r="14">
      <c r="B14" s="6" t="inlineStr">
        <is>
          <t>Meses de aporte considerados</t>
        </is>
      </c>
      <c r="C14" s="7" t="n">
        <v>12</v>
      </c>
      <c r="D14" s="8" t="inlineStr">
        <is>
          <t>meses</t>
        </is>
      </c>
      <c r="E14" s="9" t="inlineStr">
        <is>
          <t>Janela de equivalência</t>
        </is>
      </c>
    </row>
    <row r="15">
      <c r="B15" s="6" t="inlineStr">
        <is>
          <t xml:space="preserve">  Valor de mídia aportada</t>
        </is>
      </c>
      <c r="C15" s="11">
        <f>(C12/1000)*C13*C14</f>
        <v/>
      </c>
      <c r="D15" s="8" t="inlineStr">
        <is>
          <t>R$</t>
        </is>
      </c>
      <c r="E15" s="9" t="inlineStr">
        <is>
          <t>(Impressões/1000) × CPM × meses</t>
        </is>
      </c>
    </row>
    <row r="16">
      <c r="B16" s="6" t="inlineStr">
        <is>
          <t>Prêmio estratégico (marca + acesso a clientes)</t>
        </is>
      </c>
      <c r="C16" s="10" t="n">
        <v>12000</v>
      </c>
      <c r="D16" s="8" t="inlineStr">
        <is>
          <t>R$</t>
        </is>
      </c>
      <c r="E16" s="9" t="inlineStr">
        <is>
          <t>Goodwill — ajustar</t>
        </is>
      </c>
    </row>
    <row r="17">
      <c r="B17" s="6">
        <f> Total do aporte do Lado A</f>
        <v/>
      </c>
      <c r="C17" s="11">
        <f>C15+C16</f>
        <v/>
      </c>
      <c r="D17" s="8" t="inlineStr">
        <is>
          <t>R$</t>
        </is>
      </c>
      <c r="E17" s="9" t="inlineStr">
        <is>
          <t>Mídia + prêmio</t>
        </is>
      </c>
    </row>
    <row r="19" ht="20" customHeight="1">
      <c r="B19" s="4" t="inlineStr">
        <is>
          <t>SPLIT CALCULADO PELOS APORTES</t>
        </is>
      </c>
      <c r="C19" s="5" t="n"/>
      <c r="D19" s="5" t="n"/>
      <c r="E19" s="5" t="n"/>
    </row>
    <row r="20">
      <c r="B20" s="6" t="inlineStr">
        <is>
          <t>Capital fundacional total (A + B)</t>
        </is>
      </c>
      <c r="C20" s="11">
        <f>C9+C17</f>
        <v/>
      </c>
      <c r="D20" s="8" t="inlineStr">
        <is>
          <t>R$</t>
        </is>
      </c>
      <c r="E20" s="9" t="inlineStr"/>
    </row>
    <row r="21">
      <c r="B21" s="6" t="inlineStr">
        <is>
          <t>Participação calculada — Lado B</t>
        </is>
      </c>
      <c r="C21" s="14">
        <f>C9/C20</f>
        <v/>
      </c>
      <c r="D21" s="8" t="inlineStr">
        <is>
          <t>%</t>
        </is>
      </c>
      <c r="E21" s="9" t="inlineStr"/>
    </row>
    <row r="22">
      <c r="B22" s="6" t="inlineStr">
        <is>
          <t>Participação calculada — Lado A</t>
        </is>
      </c>
      <c r="C22" s="14">
        <f>C17/C20</f>
        <v/>
      </c>
      <c r="D22" s="8" t="inlineStr">
        <is>
          <t>%</t>
        </is>
      </c>
      <c r="E22" s="9" t="inlineStr"/>
    </row>
    <row r="24" ht="20" customHeight="1">
      <c r="B24" s="4" t="inlineStr">
        <is>
          <t>SPLIT PROPOSTO (somente equity)</t>
        </is>
      </c>
      <c r="C24" s="5" t="n"/>
      <c r="D24" s="5" t="n"/>
      <c r="E24" s="5" t="n"/>
    </row>
    <row r="25">
      <c r="B25" s="6" t="inlineStr">
        <is>
          <t>Lado B · Negócio &amp; Tech</t>
        </is>
      </c>
      <c r="C25" s="15" t="n">
        <v>0.5</v>
      </c>
      <c r="D25" s="8" t="inlineStr">
        <is>
          <t>%</t>
        </is>
      </c>
      <c r="E25" s="9" t="inlineStr">
        <is>
          <t>Aporte de capital = desenvolvimento</t>
        </is>
      </c>
    </row>
    <row r="26">
      <c r="B26" s="6" t="inlineStr">
        <is>
          <t>Lado A · Mídia &amp; Mercado</t>
        </is>
      </c>
      <c r="C26" s="15" t="n">
        <v>0.5</v>
      </c>
      <c r="D26" s="8" t="inlineStr">
        <is>
          <t>%</t>
        </is>
      </c>
      <c r="E26" s="9" t="inlineStr">
        <is>
          <t>Aporte de capital = audiência/canal</t>
        </is>
      </c>
    </row>
    <row r="27">
      <c r="B27" s="6" t="inlineStr">
        <is>
          <t>Soma (deve ser 100%)</t>
        </is>
      </c>
      <c r="C27" s="14">
        <f>C25+C26</f>
        <v/>
      </c>
      <c r="D27" s="8" t="inlineStr">
        <is>
          <t>%</t>
        </is>
      </c>
      <c r="E27" s="9" t="inlineStr"/>
    </row>
    <row r="29">
      <c r="B29" s="16" t="inlineStr">
        <is>
          <t>Modelo inicial: somente equity 50/50. Sem vesting, contrato de mídia ou pró-labore nesta etapa — apenas a divisão de cotas pelos aportes de capital (desenvolvimento × audiência).</t>
        </is>
      </c>
    </row>
    <row r="30"/>
  </sheetData>
  <mergeCells count="1">
    <mergeCell ref="B29:E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2026-06-29T23:54:27Z</dcterms:created>
  <dcterms:modified xsi:type="dcterms:W3CDTF">2026-06-29T23:54:27Z</dcterms:modified>
</cp:coreProperties>
</file>